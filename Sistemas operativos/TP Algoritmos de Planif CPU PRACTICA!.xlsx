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yectos\UADE\Sistemas operativos\"/>
    </mc:Choice>
  </mc:AlternateContent>
  <xr:revisionPtr revIDLastSave="0" documentId="13_ncr:1_{DF204DB4-99B6-41DB-A094-4195B6B99C71}" xr6:coauthVersionLast="47" xr6:coauthVersionMax="47" xr10:uidLastSave="{00000000-0000-0000-0000-000000000000}"/>
  <bookViews>
    <workbookView xWindow="-120" yWindow="-120" windowWidth="29040" windowHeight="15720" xr2:uid="{6AAC0CBA-25FE-46FB-8ACE-600495D3519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  <c r="F61" i="1"/>
  <c r="E61" i="1"/>
  <c r="F46" i="1"/>
  <c r="F47" i="1"/>
  <c r="F48" i="1"/>
  <c r="F45" i="1"/>
  <c r="E49" i="1"/>
  <c r="F36" i="1"/>
  <c r="F38" i="1"/>
  <c r="F35" i="1"/>
  <c r="D36" i="1"/>
  <c r="D39" i="1" s="1"/>
  <c r="D37" i="1"/>
  <c r="F37" i="1" s="1"/>
  <c r="D38" i="1"/>
  <c r="D35" i="1"/>
  <c r="F28" i="1"/>
  <c r="F29" i="1"/>
  <c r="F30" i="1"/>
  <c r="F27" i="1"/>
  <c r="D28" i="1"/>
  <c r="D29" i="1"/>
  <c r="D30" i="1"/>
  <c r="D27" i="1"/>
  <c r="D31" i="1" s="1"/>
  <c r="F20" i="1"/>
  <c r="F21" i="1"/>
  <c r="F22" i="1"/>
  <c r="F19" i="1"/>
  <c r="D20" i="1"/>
  <c r="D21" i="1"/>
  <c r="D22" i="1"/>
  <c r="D19" i="1"/>
  <c r="D23" i="1" s="1"/>
  <c r="F12" i="1"/>
  <c r="F13" i="1"/>
  <c r="F14" i="1"/>
  <c r="F11" i="1"/>
  <c r="D12" i="1"/>
  <c r="D13" i="1"/>
  <c r="D14" i="1"/>
  <c r="D11" i="1"/>
  <c r="D15" i="1" s="1"/>
  <c r="F4" i="1"/>
  <c r="F5" i="1"/>
  <c r="F6" i="1"/>
  <c r="F3" i="1"/>
  <c r="D4" i="1"/>
  <c r="D5" i="1"/>
  <c r="D6" i="1"/>
  <c r="D3" i="1"/>
  <c r="E7" i="1"/>
  <c r="E39" i="1"/>
  <c r="E31" i="1"/>
  <c r="E23" i="1"/>
  <c r="E15" i="1"/>
  <c r="D61" i="1" l="1"/>
  <c r="F49" i="1"/>
  <c r="D49" i="1"/>
  <c r="D7" i="1"/>
  <c r="F31" i="1"/>
  <c r="F39" i="1"/>
  <c r="F15" i="1"/>
  <c r="F23" i="1"/>
  <c r="F7" i="1"/>
</calcChain>
</file>

<file path=xl/sharedStrings.xml><?xml version="1.0" encoding="utf-8"?>
<sst xmlns="http://schemas.openxmlformats.org/spreadsheetml/2006/main" count="170" uniqueCount="33">
  <si>
    <t>FCFS:.</t>
  </si>
  <si>
    <t>FCFS:</t>
  </si>
  <si>
    <t>c</t>
  </si>
  <si>
    <t>t</t>
  </si>
  <si>
    <t>T.de Finaliz (F)</t>
  </si>
  <si>
    <t>T.de Espera (E)</t>
  </si>
  <si>
    <t>Penalización (P)</t>
  </si>
  <si>
    <t>Clock</t>
  </si>
  <si>
    <t>A</t>
  </si>
  <si>
    <t>B</t>
  </si>
  <si>
    <t>C</t>
  </si>
  <si>
    <t>D</t>
  </si>
  <si>
    <t>Promedios:</t>
  </si>
  <si>
    <t xml:space="preserve">SJF: </t>
  </si>
  <si>
    <t>SJF:</t>
  </si>
  <si>
    <t>Por Prioridades:</t>
  </si>
  <si>
    <t>X PRIORIDADES</t>
  </si>
  <si>
    <t>Prioridad</t>
  </si>
  <si>
    <t>Round Robin: (Quantum 2)</t>
  </si>
  <si>
    <t>RR:</t>
  </si>
  <si>
    <t>SRTF: (Quantum 2)</t>
  </si>
  <si>
    <t>SRTF:</t>
  </si>
  <si>
    <t>x</t>
  </si>
  <si>
    <t>Pueden haber procesos que los corten</t>
  </si>
  <si>
    <t>primeros 3 hasta q no terminana no entra otro proceso si alguno de esos 3 tiene un quantum pasan a ser expropiativos (quantum,cuanto tiempo puede ejecutarse)</t>
  </si>
  <si>
    <t>T finalizacion es t de espera + t(tiempo de exec)</t>
  </si>
  <si>
    <t>Penalizacion es t de finalizacion dividido t de ejecicion(t)</t>
  </si>
  <si>
    <t>Se empieza por el q empieza se toma en cuenta las prioridades. El mas chico es el mas importante y si tienen misma prioridad el de menor tiempo de ejecucion</t>
  </si>
  <si>
    <t>Se tiene en cuenta el quantum que es el tiempo en el q se puede ejecutar. En este caso de a 2 se tiene en cuenta el orden de creacion y van ejecutando cuando se llenan los espacios se saltean procesos y se finalizan procesos inconclusos</t>
  </si>
  <si>
    <t xml:space="preserve">Se ejecuta teniendo en cuenta tiempo de finalización se ejecuta el q tenga menos tiempo teniendo en cuenta el quantum </t>
  </si>
  <si>
    <t>FCFS el q primero aparece hasta q termina</t>
  </si>
  <si>
    <t>SJF el primero qyue aparece y dsps el que tiene el tiempo mas corto de exec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</si>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</sst>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2" fontId="1" fillId="2" borderId="1" xfId="1" applyNumberFormat="1" applyBorder="1" applyAlignment="1">
      <alignment horizontal="center"/>
    </xf>
    <xf numFmtId="0" fontId="0" fillId="2" borderId="1" xfId="1" applyFont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3" borderId="1" xfId="2" applyBorder="1" applyAlignment="1">
      <alignment horizontal="center"/>
    </xf>
    <xf numFmtId="2" fontId="1" fillId="3" borderId="1" xfId="2" applyNumberFormat="1" applyBorder="1" applyAlignment="1">
      <alignment horizontal="center"/>
    </xf>
    <xf numFmtId="0" fontId="0" fillId="0" borderId="1" xfId="0" applyBorder="1"/>
    <xf numFmtId="0" fontId="2" fillId="2" borderId="1" xfId="1" applyFont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5" borderId="1" xfId="0" applyFont="1" applyFill="1" applyBorder="1"/>
    <xf numFmtId="0" fontId="0" fillId="2" borderId="3" xfId="1" applyFont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4" xfId="1" applyBorder="1" applyAlignment="1">
      <alignment horizontal="center"/>
    </xf>
    <xf numFmtId="0" fontId="0" fillId="2" borderId="1" xfId="1" applyFont="1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3" xfId="1" applyBorder="1" applyAlignment="1">
      <alignment horizontal="center"/>
    </xf>
    <xf numFmtId="0" fontId="0" fillId="2" borderId="5" xfId="1" applyFont="1" applyBorder="1" applyAlignment="1">
      <alignment horizontal="center"/>
    </xf>
    <xf numFmtId="0" fontId="0" fillId="2" borderId="4" xfId="1" applyFont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1" fillId="7" borderId="1" xfId="1" applyFill="1" applyBorder="1" applyAlignment="1">
      <alignment horizontal="center"/>
    </xf>
    <xf numFmtId="0" fontId="0" fillId="7" borderId="6" xfId="0" applyFill="1" applyBorder="1"/>
    <xf numFmtId="0" fontId="3" fillId="7" borderId="1" xfId="0" applyFont="1" applyFill="1" applyBorder="1"/>
    <xf numFmtId="0" fontId="0" fillId="2" borderId="8" xfId="1" applyFont="1" applyBorder="1" applyAlignment="1">
      <alignment horizontal="center"/>
    </xf>
    <xf numFmtId="0" fontId="1" fillId="2" borderId="8" xfId="1" applyBorder="1" applyAlignment="1">
      <alignment horizontal="center"/>
    </xf>
    <xf numFmtId="0" fontId="0" fillId="2" borderId="7" xfId="1" applyFont="1" applyBorder="1" applyAlignment="1">
      <alignment horizontal="center"/>
    </xf>
    <xf numFmtId="0" fontId="1" fillId="2" borderId="7" xfId="1" applyBorder="1" applyAlignment="1">
      <alignment horizontal="center"/>
    </xf>
    <xf numFmtId="0" fontId="0" fillId="7" borderId="8" xfId="0" applyFill="1" applyBorder="1"/>
    <xf numFmtId="0" fontId="1" fillId="7" borderId="2" xfId="1" applyFill="1" applyBorder="1" applyAlignment="1">
      <alignment horizontal="center"/>
    </xf>
    <xf numFmtId="0" fontId="0" fillId="7" borderId="9" xfId="0" applyFill="1" applyBorder="1"/>
    <xf numFmtId="0" fontId="0" fillId="0" borderId="0" xfId="0" applyBorder="1"/>
    <xf numFmtId="0" fontId="0" fillId="7" borderId="7" xfId="0" applyFill="1" applyBorder="1"/>
    <xf numFmtId="0" fontId="0" fillId="7" borderId="10" xfId="0" applyFill="1" applyBorder="1"/>
  </cellXfs>
  <cellStyles count="3">
    <cellStyle name="20% - Accent1" xfId="1" builtinId="30"/>
    <cellStyle name="20% - Accent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1FAA-6D01-4A53-BD23-D65552CA6C1B}">
  <dimension ref="A1:Y61"/>
  <sheetViews>
    <sheetView tabSelected="1" topLeftCell="A46" zoomScale="160" zoomScaleNormal="160" workbookViewId="0">
      <selection activeCell="D56" sqref="D56"/>
    </sheetView>
  </sheetViews>
  <sheetFormatPr defaultColWidth="11.42578125" defaultRowHeight="15" x14ac:dyDescent="0.25"/>
  <cols>
    <col min="1" max="1" width="5.7109375" bestFit="1" customWidth="1"/>
    <col min="2" max="2" width="5.7109375" customWidth="1"/>
    <col min="3" max="3" width="5.7109375" bestFit="1" customWidth="1"/>
    <col min="4" max="4" width="13.85546875" bestFit="1" customWidth="1"/>
    <col min="5" max="5" width="16.140625" customWidth="1"/>
    <col min="6" max="6" width="15.42578125" bestFit="1" customWidth="1"/>
    <col min="7" max="7" width="3.140625" customWidth="1"/>
    <col min="8" max="8" width="5.5703125" customWidth="1"/>
    <col min="9" max="21" width="4.7109375" customWidth="1"/>
    <col min="22" max="23" width="4.85546875" customWidth="1"/>
    <col min="24" max="24" width="8.140625" bestFit="1" customWidth="1"/>
  </cols>
  <sheetData>
    <row r="1" spans="1:25" x14ac:dyDescent="0.25">
      <c r="A1" s="19" t="s">
        <v>0</v>
      </c>
      <c r="B1" s="15"/>
      <c r="C1" s="15"/>
      <c r="D1" s="15"/>
      <c r="E1" s="15"/>
      <c r="F1" s="16"/>
      <c r="H1" s="17" t="s">
        <v>1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t="s">
        <v>30</v>
      </c>
    </row>
    <row r="2" spans="1:25" x14ac:dyDescent="0.25">
      <c r="A2" s="2"/>
      <c r="B2" s="4" t="s">
        <v>2</v>
      </c>
      <c r="C2" s="9" t="s">
        <v>3</v>
      </c>
      <c r="D2" s="9" t="s">
        <v>4</v>
      </c>
      <c r="E2" s="2" t="s">
        <v>5</v>
      </c>
      <c r="F2" s="2" t="s">
        <v>6</v>
      </c>
      <c r="H2" s="2" t="s">
        <v>7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  <c r="T2" s="2">
        <v>11</v>
      </c>
      <c r="U2" s="2">
        <v>12</v>
      </c>
      <c r="V2" s="2">
        <v>13</v>
      </c>
      <c r="W2" s="2">
        <v>14</v>
      </c>
    </row>
    <row r="3" spans="1:25" x14ac:dyDescent="0.25">
      <c r="A3" s="2" t="s">
        <v>8</v>
      </c>
      <c r="B3" s="2">
        <v>2</v>
      </c>
      <c r="C3" s="2">
        <v>3</v>
      </c>
      <c r="D3" s="6">
        <f>SUM(C3,E3)</f>
        <v>11</v>
      </c>
      <c r="E3" s="6">
        <v>8</v>
      </c>
      <c r="F3" s="7">
        <f>D3/C3</f>
        <v>3.6666666666666665</v>
      </c>
      <c r="H3" s="2" t="s">
        <v>8</v>
      </c>
      <c r="I3" s="8"/>
      <c r="J3" s="8"/>
      <c r="K3" s="11" t="s">
        <v>22</v>
      </c>
      <c r="L3" s="11"/>
      <c r="M3" s="11"/>
      <c r="N3" s="11"/>
      <c r="O3" s="11"/>
      <c r="P3" s="11"/>
      <c r="Q3" s="11"/>
      <c r="R3" s="11"/>
      <c r="S3" s="12"/>
      <c r="T3" s="12"/>
      <c r="U3" s="12"/>
      <c r="V3" s="8"/>
      <c r="W3" s="8"/>
    </row>
    <row r="4" spans="1:25" x14ac:dyDescent="0.25">
      <c r="A4" s="2" t="s">
        <v>9</v>
      </c>
      <c r="B4" s="2">
        <v>0</v>
      </c>
      <c r="C4" s="2">
        <v>6</v>
      </c>
      <c r="D4" s="6">
        <f t="shared" ref="D4:D6" si="0">SUM(C4,E4)</f>
        <v>6</v>
      </c>
      <c r="E4" s="6">
        <v>0</v>
      </c>
      <c r="F4" s="7">
        <f t="shared" ref="F4:F6" si="1">D4/C4</f>
        <v>1</v>
      </c>
      <c r="H4" s="2" t="s">
        <v>9</v>
      </c>
      <c r="I4" s="12" t="s">
        <v>22</v>
      </c>
      <c r="J4" s="12"/>
      <c r="K4" s="12"/>
      <c r="L4" s="12"/>
      <c r="M4" s="12"/>
      <c r="N4" s="12"/>
      <c r="O4" s="8"/>
      <c r="P4" s="8"/>
      <c r="Q4" s="8"/>
      <c r="R4" s="8"/>
      <c r="S4" s="8"/>
      <c r="T4" s="8"/>
      <c r="U4" s="8"/>
      <c r="V4" s="8"/>
      <c r="W4" s="8"/>
      <c r="Y4" t="s">
        <v>24</v>
      </c>
    </row>
    <row r="5" spans="1:25" x14ac:dyDescent="0.25">
      <c r="A5" s="2" t="s">
        <v>10</v>
      </c>
      <c r="B5" s="2">
        <v>1</v>
      </c>
      <c r="C5" s="2">
        <v>4</v>
      </c>
      <c r="D5" s="6">
        <f t="shared" si="0"/>
        <v>9</v>
      </c>
      <c r="E5" s="6">
        <v>5</v>
      </c>
      <c r="F5" s="7">
        <f t="shared" si="1"/>
        <v>2.25</v>
      </c>
      <c r="H5" s="2" t="s">
        <v>10</v>
      </c>
      <c r="I5" s="8"/>
      <c r="J5" s="11" t="s">
        <v>22</v>
      </c>
      <c r="K5" s="11"/>
      <c r="L5" s="11"/>
      <c r="M5" s="11"/>
      <c r="N5" s="11"/>
      <c r="O5" s="12"/>
      <c r="P5" s="12"/>
      <c r="Q5" s="12"/>
      <c r="R5" s="12"/>
      <c r="S5" s="8"/>
      <c r="T5" s="8"/>
      <c r="U5" s="8"/>
      <c r="V5" s="8"/>
      <c r="W5" s="8"/>
      <c r="Y5" t="s">
        <v>25</v>
      </c>
    </row>
    <row r="6" spans="1:25" x14ac:dyDescent="0.25">
      <c r="A6" s="5" t="s">
        <v>11</v>
      </c>
      <c r="B6" s="5">
        <v>3</v>
      </c>
      <c r="C6" s="5">
        <v>2</v>
      </c>
      <c r="D6" s="6">
        <f t="shared" si="0"/>
        <v>12</v>
      </c>
      <c r="E6" s="6">
        <v>10</v>
      </c>
      <c r="F6" s="7">
        <f t="shared" si="1"/>
        <v>6</v>
      </c>
      <c r="H6" s="4" t="s">
        <v>11</v>
      </c>
      <c r="I6" s="8"/>
      <c r="J6" s="8"/>
      <c r="K6" s="8"/>
      <c r="L6" s="11" t="s">
        <v>22</v>
      </c>
      <c r="M6" s="11"/>
      <c r="N6" s="11"/>
      <c r="O6" s="11"/>
      <c r="P6" s="11"/>
      <c r="Q6" s="11"/>
      <c r="R6" s="11"/>
      <c r="S6" s="11"/>
      <c r="T6" s="11"/>
      <c r="U6" s="11"/>
      <c r="V6" s="12"/>
      <c r="W6" s="12"/>
      <c r="Y6" t="s">
        <v>26</v>
      </c>
    </row>
    <row r="7" spans="1:25" s="1" customFormat="1" x14ac:dyDescent="0.25">
      <c r="A7" s="14" t="s">
        <v>12</v>
      </c>
      <c r="B7" s="15"/>
      <c r="C7" s="16"/>
      <c r="D7" s="2">
        <f>AVERAGE(D3:D5)</f>
        <v>8.6666666666666661</v>
      </c>
      <c r="E7" s="3">
        <f>AVERAGE(E3:E6)</f>
        <v>5.75</v>
      </c>
      <c r="F7" s="3">
        <f t="shared" ref="F7" si="2">AVERAGE(F3:F5)</f>
        <v>2.3055555555555554</v>
      </c>
      <c r="H7" s="2" t="s">
        <v>7</v>
      </c>
      <c r="I7" s="2">
        <v>0</v>
      </c>
      <c r="J7" s="2">
        <v>1</v>
      </c>
      <c r="K7" s="2">
        <v>2</v>
      </c>
      <c r="L7" s="2">
        <v>3</v>
      </c>
      <c r="M7" s="2">
        <v>4</v>
      </c>
      <c r="N7" s="2">
        <v>5</v>
      </c>
      <c r="O7" s="2">
        <v>6</v>
      </c>
      <c r="P7" s="2">
        <v>7</v>
      </c>
      <c r="Q7" s="2">
        <v>8</v>
      </c>
      <c r="R7" s="2">
        <v>9</v>
      </c>
      <c r="S7" s="2">
        <v>10</v>
      </c>
      <c r="T7" s="2">
        <v>11</v>
      </c>
      <c r="U7" s="2">
        <v>12</v>
      </c>
      <c r="V7" s="2">
        <v>13</v>
      </c>
      <c r="W7" s="2">
        <v>14</v>
      </c>
    </row>
    <row r="9" spans="1:25" x14ac:dyDescent="0.25">
      <c r="A9" s="14" t="s">
        <v>13</v>
      </c>
      <c r="B9" s="15"/>
      <c r="C9" s="15"/>
      <c r="D9" s="15"/>
      <c r="E9" s="15"/>
      <c r="F9" s="16"/>
      <c r="H9" s="18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Y9" t="s">
        <v>31</v>
      </c>
    </row>
    <row r="10" spans="1:25" x14ac:dyDescent="0.25">
      <c r="A10" s="2"/>
      <c r="B10" s="4" t="s">
        <v>2</v>
      </c>
      <c r="C10" s="9" t="s">
        <v>3</v>
      </c>
      <c r="D10" s="9" t="s">
        <v>4</v>
      </c>
      <c r="E10" s="2" t="s">
        <v>5</v>
      </c>
      <c r="F10" s="2" t="s">
        <v>6</v>
      </c>
      <c r="H10" s="2" t="s">
        <v>7</v>
      </c>
      <c r="I10" s="2">
        <v>0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>
        <v>13</v>
      </c>
      <c r="W10" s="2">
        <v>14</v>
      </c>
    </row>
    <row r="11" spans="1:25" x14ac:dyDescent="0.25">
      <c r="A11" s="2" t="s">
        <v>8</v>
      </c>
      <c r="B11" s="2">
        <v>2</v>
      </c>
      <c r="C11" s="2">
        <v>3</v>
      </c>
      <c r="D11" s="6">
        <f>SUM(C11,E11)</f>
        <v>9</v>
      </c>
      <c r="E11" s="6">
        <v>6</v>
      </c>
      <c r="F11" s="7">
        <f>D11/C11</f>
        <v>3</v>
      </c>
      <c r="H11" s="2" t="s">
        <v>8</v>
      </c>
      <c r="I11" s="8"/>
      <c r="J11" s="8"/>
      <c r="K11" s="11" t="s">
        <v>22</v>
      </c>
      <c r="L11" s="11"/>
      <c r="M11" s="11"/>
      <c r="N11" s="11"/>
      <c r="O11" s="11"/>
      <c r="P11" s="11"/>
      <c r="Q11" s="12"/>
      <c r="R11" s="12"/>
      <c r="S11" s="12"/>
      <c r="T11" s="8"/>
      <c r="U11" s="8"/>
      <c r="V11" s="8"/>
      <c r="W11" s="8"/>
    </row>
    <row r="12" spans="1:25" x14ac:dyDescent="0.25">
      <c r="A12" s="2" t="s">
        <v>9</v>
      </c>
      <c r="B12" s="2">
        <v>0</v>
      </c>
      <c r="C12" s="2">
        <v>6</v>
      </c>
      <c r="D12" s="6">
        <f t="shared" ref="D12:D14" si="3">SUM(C12,E12)</f>
        <v>6</v>
      </c>
      <c r="E12" s="6">
        <v>0</v>
      </c>
      <c r="F12" s="7">
        <f t="shared" ref="F12:F14" si="4">D12/C12</f>
        <v>1</v>
      </c>
      <c r="H12" s="2" t="s">
        <v>9</v>
      </c>
      <c r="I12" s="12" t="s">
        <v>22</v>
      </c>
      <c r="J12" s="12"/>
      <c r="K12" s="12"/>
      <c r="L12" s="12"/>
      <c r="M12" s="12"/>
      <c r="N12" s="12"/>
      <c r="O12" s="8"/>
      <c r="P12" s="8"/>
      <c r="Q12" s="8"/>
      <c r="R12" s="8"/>
      <c r="S12" s="8"/>
      <c r="T12" s="8"/>
      <c r="U12" s="8"/>
      <c r="V12" s="8"/>
      <c r="W12" s="8"/>
    </row>
    <row r="13" spans="1:25" x14ac:dyDescent="0.25">
      <c r="A13" s="2" t="s">
        <v>10</v>
      </c>
      <c r="B13" s="2">
        <v>1</v>
      </c>
      <c r="C13" s="2">
        <v>4</v>
      </c>
      <c r="D13" s="6">
        <f t="shared" si="3"/>
        <v>14</v>
      </c>
      <c r="E13" s="6">
        <v>10</v>
      </c>
      <c r="F13" s="7">
        <f t="shared" si="4"/>
        <v>3.5</v>
      </c>
      <c r="H13" s="2" t="s">
        <v>10</v>
      </c>
      <c r="I13" s="8"/>
      <c r="J13" s="11" t="s">
        <v>22</v>
      </c>
      <c r="K13" s="11"/>
      <c r="L13" s="11"/>
      <c r="M13" s="11"/>
      <c r="N13" s="11"/>
      <c r="O13" s="11"/>
      <c r="P13" s="11"/>
      <c r="Q13" s="11"/>
      <c r="R13" s="11"/>
      <c r="S13" s="11"/>
      <c r="T13" s="12"/>
      <c r="U13" s="12"/>
      <c r="V13" s="12"/>
      <c r="W13" s="12"/>
    </row>
    <row r="14" spans="1:25" x14ac:dyDescent="0.25">
      <c r="A14" s="5" t="s">
        <v>11</v>
      </c>
      <c r="B14" s="5">
        <v>3</v>
      </c>
      <c r="C14" s="5">
        <v>2</v>
      </c>
      <c r="D14" s="6">
        <f t="shared" si="3"/>
        <v>5</v>
      </c>
      <c r="E14" s="6">
        <v>3</v>
      </c>
      <c r="F14" s="7">
        <f t="shared" si="4"/>
        <v>2.5</v>
      </c>
      <c r="H14" s="4" t="s">
        <v>11</v>
      </c>
      <c r="I14" s="8"/>
      <c r="J14" s="8"/>
      <c r="K14" s="8"/>
      <c r="L14" s="11" t="s">
        <v>22</v>
      </c>
      <c r="M14" s="11"/>
      <c r="N14" s="11"/>
      <c r="O14" s="12"/>
      <c r="P14" s="12"/>
      <c r="Q14" s="8"/>
      <c r="R14" s="8"/>
      <c r="S14" s="8"/>
      <c r="T14" s="8"/>
      <c r="U14" s="8"/>
      <c r="V14" s="8"/>
      <c r="W14" s="8"/>
    </row>
    <row r="15" spans="1:25" x14ac:dyDescent="0.25">
      <c r="A15" s="14" t="s">
        <v>12</v>
      </c>
      <c r="B15" s="15"/>
      <c r="C15" s="16"/>
      <c r="D15" s="3">
        <f>AVERAGE(D11:D14)</f>
        <v>8.5</v>
      </c>
      <c r="E15" s="3">
        <f>AVERAGE(E11:E14)</f>
        <v>4.75</v>
      </c>
      <c r="F15" s="3">
        <f t="shared" ref="F15" si="5">AVERAGE(F11:F14)</f>
        <v>2.5</v>
      </c>
      <c r="H15" s="2" t="s">
        <v>7</v>
      </c>
      <c r="I15" s="2">
        <v>0</v>
      </c>
      <c r="J15" s="2">
        <v>1</v>
      </c>
      <c r="K15" s="2">
        <v>2</v>
      </c>
      <c r="L15" s="2">
        <v>3</v>
      </c>
      <c r="M15" s="2">
        <v>4</v>
      </c>
      <c r="N15" s="2">
        <v>5</v>
      </c>
      <c r="O15" s="2">
        <v>6</v>
      </c>
      <c r="P15" s="2">
        <v>7</v>
      </c>
      <c r="Q15" s="2">
        <v>8</v>
      </c>
      <c r="R15" s="2">
        <v>9</v>
      </c>
      <c r="S15" s="2">
        <v>10</v>
      </c>
      <c r="T15" s="2">
        <v>11</v>
      </c>
      <c r="U15" s="2">
        <v>12</v>
      </c>
      <c r="V15" s="2">
        <v>13</v>
      </c>
      <c r="W15" s="2">
        <v>14</v>
      </c>
    </row>
    <row r="17" spans="1:25" x14ac:dyDescent="0.25">
      <c r="A17" s="14" t="s">
        <v>15</v>
      </c>
      <c r="B17" s="20"/>
      <c r="C17" s="20"/>
      <c r="D17" s="20"/>
      <c r="E17" s="20"/>
      <c r="F17" s="21"/>
      <c r="H17" s="17" t="s">
        <v>16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8"/>
      <c r="Y17" t="s">
        <v>27</v>
      </c>
    </row>
    <row r="18" spans="1:25" x14ac:dyDescent="0.25">
      <c r="A18" s="2"/>
      <c r="B18" s="4" t="s">
        <v>2</v>
      </c>
      <c r="C18" s="9" t="s">
        <v>3</v>
      </c>
      <c r="D18" s="9" t="s">
        <v>4</v>
      </c>
      <c r="E18" s="2" t="s">
        <v>5</v>
      </c>
      <c r="F18" s="2" t="s">
        <v>6</v>
      </c>
      <c r="H18" s="2" t="s">
        <v>7</v>
      </c>
      <c r="I18" s="2">
        <v>0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>
        <v>10</v>
      </c>
      <c r="T18" s="2">
        <v>11</v>
      </c>
      <c r="U18" s="2">
        <v>12</v>
      </c>
      <c r="V18" s="2">
        <v>13</v>
      </c>
      <c r="W18" s="2">
        <v>14</v>
      </c>
      <c r="X18" s="4" t="s">
        <v>17</v>
      </c>
    </row>
    <row r="19" spans="1:25" x14ac:dyDescent="0.25">
      <c r="A19" s="2" t="s">
        <v>8</v>
      </c>
      <c r="B19" s="2">
        <v>2</v>
      </c>
      <c r="C19" s="2">
        <v>3</v>
      </c>
      <c r="D19" s="6">
        <f>C19+E19</f>
        <v>13</v>
      </c>
      <c r="E19" s="6">
        <v>10</v>
      </c>
      <c r="F19" s="7">
        <f>D19/C19</f>
        <v>4.333333333333333</v>
      </c>
      <c r="H19" s="2" t="s">
        <v>8</v>
      </c>
      <c r="I19" s="8"/>
      <c r="J19" s="8"/>
      <c r="K19" s="11" t="s">
        <v>22</v>
      </c>
      <c r="L19" s="11"/>
      <c r="M19" s="11"/>
      <c r="N19" s="11"/>
      <c r="O19" s="11"/>
      <c r="P19" s="11"/>
      <c r="Q19" s="11"/>
      <c r="R19" s="11"/>
      <c r="S19" s="11"/>
      <c r="T19" s="11"/>
      <c r="U19" s="10"/>
      <c r="V19" s="10"/>
      <c r="W19" s="10"/>
      <c r="X19" s="2">
        <v>3</v>
      </c>
    </row>
    <row r="20" spans="1:25" x14ac:dyDescent="0.25">
      <c r="A20" s="2" t="s">
        <v>9</v>
      </c>
      <c r="B20" s="2">
        <v>0</v>
      </c>
      <c r="C20" s="2">
        <v>6</v>
      </c>
      <c r="D20" s="6">
        <f t="shared" ref="D20:D22" si="6">C20+E20</f>
        <v>6</v>
      </c>
      <c r="E20" s="6">
        <v>0</v>
      </c>
      <c r="F20" s="7">
        <f t="shared" ref="F20:F22" si="7">D20/C20</f>
        <v>1</v>
      </c>
      <c r="H20" s="2" t="s">
        <v>9</v>
      </c>
      <c r="I20" s="12" t="s">
        <v>22</v>
      </c>
      <c r="J20" s="12"/>
      <c r="K20" s="12"/>
      <c r="L20" s="12"/>
      <c r="M20" s="12"/>
      <c r="N20" s="12"/>
      <c r="O20" s="8"/>
      <c r="P20" s="8"/>
      <c r="Q20" s="8"/>
      <c r="R20" s="8"/>
      <c r="S20" s="8"/>
      <c r="T20" s="8"/>
      <c r="U20" s="8"/>
      <c r="V20" s="8"/>
      <c r="W20" s="8"/>
      <c r="X20" s="2">
        <v>1</v>
      </c>
    </row>
    <row r="21" spans="1:25" x14ac:dyDescent="0.25">
      <c r="A21" s="2" t="s">
        <v>10</v>
      </c>
      <c r="B21" s="2">
        <v>1</v>
      </c>
      <c r="C21" s="2">
        <v>4</v>
      </c>
      <c r="D21" s="6">
        <f t="shared" si="6"/>
        <v>11</v>
      </c>
      <c r="E21" s="6">
        <v>7</v>
      </c>
      <c r="F21" s="7">
        <f t="shared" si="7"/>
        <v>2.75</v>
      </c>
      <c r="H21" s="2" t="s">
        <v>10</v>
      </c>
      <c r="I21" s="8"/>
      <c r="J21" s="11" t="s">
        <v>22</v>
      </c>
      <c r="K21" s="11"/>
      <c r="L21" s="11"/>
      <c r="M21" s="11"/>
      <c r="N21" s="11"/>
      <c r="O21" s="11"/>
      <c r="P21" s="11"/>
      <c r="Q21" s="12"/>
      <c r="R21" s="12"/>
      <c r="S21" s="12"/>
      <c r="T21" s="12"/>
      <c r="U21" s="8"/>
      <c r="V21" s="8"/>
      <c r="W21" s="8"/>
      <c r="X21" s="2">
        <v>2</v>
      </c>
    </row>
    <row r="22" spans="1:25" x14ac:dyDescent="0.25">
      <c r="A22" s="5" t="s">
        <v>11</v>
      </c>
      <c r="B22" s="5">
        <v>3</v>
      </c>
      <c r="C22" s="5">
        <v>2</v>
      </c>
      <c r="D22" s="6">
        <f t="shared" si="6"/>
        <v>5</v>
      </c>
      <c r="E22" s="6">
        <v>3</v>
      </c>
      <c r="F22" s="7">
        <f t="shared" si="7"/>
        <v>2.5</v>
      </c>
      <c r="H22" s="4" t="s">
        <v>11</v>
      </c>
      <c r="I22" s="8"/>
      <c r="J22" s="8"/>
      <c r="K22" s="8"/>
      <c r="L22" s="11" t="s">
        <v>22</v>
      </c>
      <c r="M22" s="11"/>
      <c r="N22" s="11"/>
      <c r="O22" s="12"/>
      <c r="P22" s="12"/>
      <c r="Q22" s="8"/>
      <c r="R22" s="8"/>
      <c r="S22" s="8"/>
      <c r="T22" s="8"/>
      <c r="U22" s="8"/>
      <c r="V22" s="8"/>
      <c r="W22" s="8"/>
      <c r="X22" s="2">
        <v>2</v>
      </c>
    </row>
    <row r="23" spans="1:25" x14ac:dyDescent="0.25">
      <c r="A23" s="14" t="s">
        <v>12</v>
      </c>
      <c r="B23" s="15"/>
      <c r="C23" s="16"/>
      <c r="D23" s="3">
        <f>AVERAGE(D19:D22)</f>
        <v>8.75</v>
      </c>
      <c r="E23" s="3">
        <f>AVERAGE(E19:E22)</f>
        <v>5</v>
      </c>
      <c r="F23" s="3">
        <f>AVERAGE(F19:F22)</f>
        <v>2.645833333333333</v>
      </c>
      <c r="H23" s="2" t="s">
        <v>7</v>
      </c>
      <c r="I23" s="2">
        <v>0</v>
      </c>
      <c r="J23" s="2">
        <v>1</v>
      </c>
      <c r="K23" s="2">
        <v>2</v>
      </c>
      <c r="L23" s="2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>
        <v>10</v>
      </c>
      <c r="T23" s="2">
        <v>11</v>
      </c>
      <c r="U23" s="2">
        <v>12</v>
      </c>
      <c r="V23" s="2">
        <v>13</v>
      </c>
      <c r="W23" s="2">
        <v>14</v>
      </c>
      <c r="X23" s="8"/>
    </row>
    <row r="25" spans="1:25" x14ac:dyDescent="0.25">
      <c r="A25" s="14" t="s">
        <v>18</v>
      </c>
      <c r="B25" s="15"/>
      <c r="C25" s="15"/>
      <c r="D25" s="15"/>
      <c r="E25" s="15"/>
      <c r="F25" s="16"/>
      <c r="H25" s="17" t="s">
        <v>19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Y25" t="s">
        <v>28</v>
      </c>
    </row>
    <row r="26" spans="1:25" x14ac:dyDescent="0.25">
      <c r="A26" s="2"/>
      <c r="B26" s="4" t="s">
        <v>2</v>
      </c>
      <c r="C26" s="9" t="s">
        <v>3</v>
      </c>
      <c r="D26" s="9" t="s">
        <v>4</v>
      </c>
      <c r="E26" s="2" t="s">
        <v>5</v>
      </c>
      <c r="F26" s="2" t="s">
        <v>6</v>
      </c>
      <c r="H26" s="2" t="s">
        <v>7</v>
      </c>
      <c r="I26" s="2">
        <v>0</v>
      </c>
      <c r="J26" s="2">
        <v>1</v>
      </c>
      <c r="K26" s="2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>
        <v>10</v>
      </c>
      <c r="T26" s="2">
        <v>11</v>
      </c>
      <c r="U26" s="2">
        <v>12</v>
      </c>
      <c r="V26" s="2">
        <v>13</v>
      </c>
      <c r="W26" s="2">
        <v>14</v>
      </c>
    </row>
    <row r="27" spans="1:25" x14ac:dyDescent="0.25">
      <c r="A27" s="2" t="s">
        <v>8</v>
      </c>
      <c r="B27" s="2">
        <v>2</v>
      </c>
      <c r="C27" s="2">
        <v>3</v>
      </c>
      <c r="D27" s="6">
        <f>E27+C27</f>
        <v>11</v>
      </c>
      <c r="E27" s="6">
        <v>8</v>
      </c>
      <c r="F27" s="7">
        <f>D27/C27</f>
        <v>3.6666666666666665</v>
      </c>
      <c r="H27" s="2" t="s">
        <v>8</v>
      </c>
      <c r="I27" s="8"/>
      <c r="J27" s="8"/>
      <c r="K27" s="11" t="s">
        <v>22</v>
      </c>
      <c r="L27" s="11"/>
      <c r="M27" s="12"/>
      <c r="N27" s="12"/>
      <c r="O27" s="11"/>
      <c r="P27" s="11"/>
      <c r="Q27" s="11"/>
      <c r="R27" s="11"/>
      <c r="S27" s="11"/>
      <c r="T27" s="11"/>
      <c r="U27" s="12"/>
      <c r="V27" s="8"/>
      <c r="W27" s="8"/>
    </row>
    <row r="28" spans="1:25" x14ac:dyDescent="0.25">
      <c r="A28" s="2" t="s">
        <v>9</v>
      </c>
      <c r="B28" s="2">
        <v>0</v>
      </c>
      <c r="C28" s="2">
        <v>6</v>
      </c>
      <c r="D28" s="6">
        <f t="shared" ref="D28:D30" si="8">E28+C28</f>
        <v>15</v>
      </c>
      <c r="E28" s="6">
        <v>9</v>
      </c>
      <c r="F28" s="7">
        <f t="shared" ref="F28:F30" si="9">D28/C28</f>
        <v>2.5</v>
      </c>
      <c r="H28" s="2" t="s">
        <v>9</v>
      </c>
      <c r="I28" s="10" t="s">
        <v>22</v>
      </c>
      <c r="J28" s="10"/>
      <c r="K28" s="11"/>
      <c r="L28" s="11"/>
      <c r="M28" s="11"/>
      <c r="N28" s="11"/>
      <c r="O28" s="11"/>
      <c r="P28" s="11"/>
      <c r="Q28" s="12"/>
      <c r="R28" s="12"/>
      <c r="S28" s="11"/>
      <c r="T28" s="11"/>
      <c r="U28" s="11"/>
      <c r="V28" s="12"/>
      <c r="W28" s="12"/>
    </row>
    <row r="29" spans="1:25" x14ac:dyDescent="0.25">
      <c r="A29" s="2" t="s">
        <v>10</v>
      </c>
      <c r="B29" s="2">
        <v>1</v>
      </c>
      <c r="C29" s="2">
        <v>4</v>
      </c>
      <c r="D29" s="6">
        <f t="shared" si="8"/>
        <v>11</v>
      </c>
      <c r="E29" s="6">
        <v>7</v>
      </c>
      <c r="F29" s="7">
        <f t="shared" si="9"/>
        <v>2.75</v>
      </c>
      <c r="H29" s="2" t="s">
        <v>10</v>
      </c>
      <c r="I29" s="8"/>
      <c r="J29" s="11" t="s">
        <v>22</v>
      </c>
      <c r="K29" s="10"/>
      <c r="L29" s="10"/>
      <c r="M29" s="11"/>
      <c r="N29" s="11"/>
      <c r="O29" s="11"/>
      <c r="P29" s="11"/>
      <c r="Q29" s="11"/>
      <c r="R29" s="11"/>
      <c r="S29" s="12"/>
      <c r="T29" s="12"/>
      <c r="U29" s="8"/>
      <c r="V29" s="8"/>
      <c r="W29" s="8"/>
    </row>
    <row r="30" spans="1:25" x14ac:dyDescent="0.25">
      <c r="A30" s="5" t="s">
        <v>11</v>
      </c>
      <c r="B30" s="5">
        <v>3</v>
      </c>
      <c r="C30" s="5">
        <v>2</v>
      </c>
      <c r="D30" s="6">
        <f t="shared" si="8"/>
        <v>5</v>
      </c>
      <c r="E30" s="6">
        <v>3</v>
      </c>
      <c r="F30" s="7">
        <f t="shared" si="9"/>
        <v>2.5</v>
      </c>
      <c r="H30" s="4" t="s">
        <v>11</v>
      </c>
      <c r="I30" s="8"/>
      <c r="J30" s="8"/>
      <c r="K30" s="8"/>
      <c r="L30" s="11" t="s">
        <v>22</v>
      </c>
      <c r="M30" s="11"/>
      <c r="N30" s="11"/>
      <c r="O30" s="12"/>
      <c r="P30" s="12"/>
      <c r="Q30" s="8"/>
      <c r="R30" s="8"/>
      <c r="S30" s="8"/>
      <c r="T30" s="8"/>
      <c r="U30" s="8"/>
      <c r="V30" s="8"/>
      <c r="W30" s="8"/>
    </row>
    <row r="31" spans="1:25" x14ac:dyDescent="0.25">
      <c r="A31" s="14" t="s">
        <v>12</v>
      </c>
      <c r="B31" s="15"/>
      <c r="C31" s="16"/>
      <c r="D31" s="3">
        <f>AVERAGE(D27:D30)</f>
        <v>10.5</v>
      </c>
      <c r="E31" s="3">
        <f>AVERAGE(E27:E30)</f>
        <v>6.75</v>
      </c>
      <c r="F31" s="3">
        <f t="shared" ref="F31" si="10">AVERAGE(F27:F30)</f>
        <v>2.8541666666666665</v>
      </c>
      <c r="H31" s="2" t="s">
        <v>7</v>
      </c>
      <c r="I31" s="2">
        <v>0</v>
      </c>
      <c r="J31" s="2">
        <v>1</v>
      </c>
      <c r="K31" s="2">
        <v>2</v>
      </c>
      <c r="L31" s="2">
        <v>3</v>
      </c>
      <c r="M31" s="2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>
        <v>10</v>
      </c>
      <c r="T31" s="2">
        <v>11</v>
      </c>
      <c r="U31" s="2">
        <v>12</v>
      </c>
      <c r="V31" s="2">
        <v>13</v>
      </c>
      <c r="W31" s="2">
        <v>14</v>
      </c>
    </row>
    <row r="32" spans="1:25" x14ac:dyDescent="0.25">
      <c r="Y32" t="s">
        <v>23</v>
      </c>
    </row>
    <row r="33" spans="1:24" x14ac:dyDescent="0.25">
      <c r="A33" s="14" t="s">
        <v>20</v>
      </c>
      <c r="B33" s="15"/>
      <c r="C33" s="15"/>
      <c r="D33" s="15"/>
      <c r="E33" s="15"/>
      <c r="F33" s="16"/>
      <c r="H33" s="17" t="s">
        <v>21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t="s">
        <v>29</v>
      </c>
    </row>
    <row r="34" spans="1:24" x14ac:dyDescent="0.25">
      <c r="A34" s="2"/>
      <c r="B34" s="4" t="s">
        <v>2</v>
      </c>
      <c r="C34" s="9" t="s">
        <v>3</v>
      </c>
      <c r="D34" s="9" t="s">
        <v>4</v>
      </c>
      <c r="E34" s="2" t="s">
        <v>5</v>
      </c>
      <c r="F34" s="2" t="s">
        <v>6</v>
      </c>
      <c r="H34" s="2" t="s">
        <v>7</v>
      </c>
      <c r="I34" s="2">
        <v>0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>
        <v>10</v>
      </c>
      <c r="T34" s="2">
        <v>11</v>
      </c>
      <c r="U34" s="2">
        <v>12</v>
      </c>
      <c r="V34" s="2">
        <v>13</v>
      </c>
      <c r="W34" s="2">
        <v>14</v>
      </c>
    </row>
    <row r="35" spans="1:24" x14ac:dyDescent="0.25">
      <c r="A35" s="2" t="s">
        <v>8</v>
      </c>
      <c r="B35" s="2">
        <v>2</v>
      </c>
      <c r="C35" s="2">
        <v>3</v>
      </c>
      <c r="D35" s="6">
        <f>C35+E35</f>
        <v>3</v>
      </c>
      <c r="E35" s="6">
        <v>0</v>
      </c>
      <c r="F35" s="7">
        <f>D35/C35</f>
        <v>1</v>
      </c>
      <c r="H35" s="2" t="s">
        <v>8</v>
      </c>
      <c r="I35" s="8"/>
      <c r="J35" s="8"/>
      <c r="K35" s="12" t="s">
        <v>22</v>
      </c>
      <c r="L35" s="12"/>
      <c r="M35" s="12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4" x14ac:dyDescent="0.25">
      <c r="A36" s="2" t="s">
        <v>9</v>
      </c>
      <c r="B36" s="2">
        <v>0</v>
      </c>
      <c r="C36" s="2">
        <v>6</v>
      </c>
      <c r="D36" s="6">
        <f t="shared" ref="D36:D38" si="11">C36+E36</f>
        <v>11</v>
      </c>
      <c r="E36" s="6">
        <v>5</v>
      </c>
      <c r="F36" s="7">
        <f t="shared" ref="F36:F38" si="12">D36/C36</f>
        <v>1.8333333333333333</v>
      </c>
      <c r="H36" s="2" t="s">
        <v>9</v>
      </c>
      <c r="I36" s="12" t="s">
        <v>22</v>
      </c>
      <c r="J36" s="12"/>
      <c r="K36" s="11"/>
      <c r="L36" s="11"/>
      <c r="M36" s="11"/>
      <c r="N36" s="11"/>
      <c r="O36" s="11"/>
      <c r="P36" s="12"/>
      <c r="Q36" s="12"/>
      <c r="R36" s="12"/>
      <c r="S36" s="12"/>
      <c r="T36" s="8"/>
      <c r="U36" s="8"/>
      <c r="V36" s="8"/>
      <c r="W36" s="8"/>
    </row>
    <row r="37" spans="1:24" x14ac:dyDescent="0.25">
      <c r="A37" s="2" t="s">
        <v>10</v>
      </c>
      <c r="B37" s="2">
        <v>1</v>
      </c>
      <c r="C37" s="2">
        <v>4</v>
      </c>
      <c r="D37" s="6">
        <f t="shared" si="11"/>
        <v>12</v>
      </c>
      <c r="E37" s="6">
        <v>8</v>
      </c>
      <c r="F37" s="7">
        <f t="shared" si="12"/>
        <v>3</v>
      </c>
      <c r="H37" s="2" t="s">
        <v>10</v>
      </c>
      <c r="I37" s="8"/>
      <c r="J37" s="11" t="s">
        <v>22</v>
      </c>
      <c r="K37" s="11"/>
      <c r="L37" s="11"/>
      <c r="M37" s="11"/>
      <c r="N37" s="11"/>
      <c r="O37" s="11"/>
      <c r="P37" s="11"/>
      <c r="Q37" s="11"/>
      <c r="R37" s="13"/>
      <c r="S37" s="13"/>
      <c r="T37" s="12"/>
      <c r="U37" s="12"/>
      <c r="V37" s="12"/>
      <c r="W37" s="12"/>
    </row>
    <row r="38" spans="1:24" x14ac:dyDescent="0.25">
      <c r="A38" s="5" t="s">
        <v>11</v>
      </c>
      <c r="B38" s="5">
        <v>3</v>
      </c>
      <c r="C38" s="5">
        <v>2</v>
      </c>
      <c r="D38" s="6">
        <f t="shared" si="11"/>
        <v>4</v>
      </c>
      <c r="E38" s="6">
        <v>2</v>
      </c>
      <c r="F38" s="7">
        <f t="shared" si="12"/>
        <v>2</v>
      </c>
      <c r="H38" s="4" t="s">
        <v>11</v>
      </c>
      <c r="I38" s="8"/>
      <c r="J38" s="8"/>
      <c r="K38" s="8"/>
      <c r="L38" s="11" t="s">
        <v>22</v>
      </c>
      <c r="M38" s="11"/>
      <c r="N38" s="12"/>
      <c r="O38" s="12"/>
      <c r="P38" s="8"/>
      <c r="Q38" s="8"/>
      <c r="R38" s="8"/>
      <c r="S38" s="8"/>
      <c r="T38" s="8"/>
      <c r="U38" s="8"/>
      <c r="V38" s="8"/>
      <c r="W38" s="8"/>
    </row>
    <row r="39" spans="1:24" x14ac:dyDescent="0.25">
      <c r="A39" s="14" t="s">
        <v>12</v>
      </c>
      <c r="B39" s="15"/>
      <c r="C39" s="16"/>
      <c r="D39" s="3">
        <f>AVERAGE(D35:D38)</f>
        <v>7.5</v>
      </c>
      <c r="E39" s="3">
        <f>AVERAGE(E35:E38)</f>
        <v>3.75</v>
      </c>
      <c r="F39" s="3">
        <f t="shared" ref="F39" si="13">AVERAGE(F35:F38)</f>
        <v>1.9583333333333333</v>
      </c>
      <c r="H39" s="2" t="s">
        <v>7</v>
      </c>
      <c r="I39" s="2">
        <v>0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>
        <v>10</v>
      </c>
      <c r="T39" s="2">
        <v>11</v>
      </c>
      <c r="U39" s="2">
        <v>12</v>
      </c>
      <c r="V39" s="2">
        <v>13</v>
      </c>
      <c r="W39" s="2">
        <v>14</v>
      </c>
    </row>
    <row r="42" spans="1:24" x14ac:dyDescent="0.25">
      <c r="A42" s="14" t="s">
        <v>18</v>
      </c>
      <c r="B42" s="15"/>
      <c r="C42" s="15"/>
      <c r="D42" s="15"/>
      <c r="E42" s="15"/>
      <c r="F42" s="16"/>
      <c r="H42" s="29" t="s">
        <v>19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4" x14ac:dyDescent="0.25">
      <c r="A43" s="2"/>
      <c r="B43" s="4" t="s">
        <v>2</v>
      </c>
      <c r="C43" s="9" t="s">
        <v>3</v>
      </c>
      <c r="D43" s="9" t="s">
        <v>4</v>
      </c>
      <c r="E43" s="2" t="s">
        <v>5</v>
      </c>
      <c r="F43" s="2" t="s">
        <v>6</v>
      </c>
      <c r="H43" s="28" t="s">
        <v>7</v>
      </c>
      <c r="I43" s="28">
        <v>0</v>
      </c>
      <c r="J43" s="28">
        <v>1</v>
      </c>
      <c r="K43" s="28">
        <v>2</v>
      </c>
      <c r="L43" s="28">
        <v>3</v>
      </c>
      <c r="M43" s="28">
        <v>4</v>
      </c>
      <c r="N43" s="28">
        <v>5</v>
      </c>
      <c r="O43" s="28">
        <v>6</v>
      </c>
      <c r="P43" s="28">
        <v>7</v>
      </c>
      <c r="Q43" s="28">
        <v>8</v>
      </c>
      <c r="R43" s="28">
        <v>9</v>
      </c>
      <c r="S43" s="28">
        <v>10</v>
      </c>
      <c r="T43" s="28">
        <v>11</v>
      </c>
      <c r="U43" s="28">
        <v>12</v>
      </c>
      <c r="V43" s="5">
        <v>13</v>
      </c>
      <c r="W43" s="32"/>
    </row>
    <row r="44" spans="1:24" x14ac:dyDescent="0.25">
      <c r="A44" s="2" t="s">
        <v>8</v>
      </c>
      <c r="B44" s="2">
        <v>9</v>
      </c>
      <c r="C44" s="2">
        <v>1</v>
      </c>
      <c r="D44" s="6">
        <v>3</v>
      </c>
      <c r="E44" s="6">
        <v>2</v>
      </c>
      <c r="F44" s="7">
        <v>3</v>
      </c>
      <c r="G44">
        <v>5</v>
      </c>
      <c r="H44" s="2" t="s">
        <v>8</v>
      </c>
      <c r="I44" s="22"/>
      <c r="J44" s="22"/>
      <c r="K44" s="22"/>
      <c r="L44" s="22"/>
      <c r="M44" s="22"/>
      <c r="N44" s="22"/>
      <c r="O44" s="22"/>
      <c r="P44" s="22"/>
      <c r="Q44" s="22"/>
      <c r="R44" s="23" t="s">
        <v>22</v>
      </c>
      <c r="S44" s="23"/>
      <c r="T44" s="12"/>
      <c r="U44" s="22"/>
      <c r="V44" s="31"/>
      <c r="W44" s="25"/>
      <c r="X44" s="34"/>
    </row>
    <row r="45" spans="1:24" x14ac:dyDescent="0.25">
      <c r="A45" s="2" t="s">
        <v>9</v>
      </c>
      <c r="B45" s="2">
        <v>0</v>
      </c>
      <c r="C45" s="2">
        <v>4</v>
      </c>
      <c r="D45" s="6">
        <v>9</v>
      </c>
      <c r="E45" s="6">
        <v>5</v>
      </c>
      <c r="F45" s="7">
        <f>D45/C45</f>
        <v>2.25</v>
      </c>
      <c r="G45">
        <v>1</v>
      </c>
      <c r="H45" s="2" t="s">
        <v>9</v>
      </c>
      <c r="I45" s="12" t="s">
        <v>22</v>
      </c>
      <c r="J45" s="12"/>
      <c r="K45" s="23"/>
      <c r="L45" s="23"/>
      <c r="M45" s="23"/>
      <c r="N45" s="23"/>
      <c r="O45" s="23"/>
      <c r="P45" s="12"/>
      <c r="Q45" s="12"/>
      <c r="R45" s="22"/>
      <c r="S45" s="22"/>
      <c r="T45" s="22"/>
      <c r="U45" s="22"/>
      <c r="V45" s="22"/>
      <c r="W45" s="33"/>
    </row>
    <row r="46" spans="1:24" x14ac:dyDescent="0.25">
      <c r="A46" s="2" t="s">
        <v>10</v>
      </c>
      <c r="B46" s="2">
        <v>2</v>
      </c>
      <c r="C46" s="2">
        <v>2</v>
      </c>
      <c r="D46" s="6">
        <v>4</v>
      </c>
      <c r="E46" s="6">
        <v>2</v>
      </c>
      <c r="F46" s="7">
        <f t="shared" ref="F46:F48" si="14">D46/C46</f>
        <v>2</v>
      </c>
      <c r="G46">
        <v>3</v>
      </c>
      <c r="H46" s="2" t="s">
        <v>10</v>
      </c>
      <c r="I46" s="22"/>
      <c r="J46" s="22"/>
      <c r="K46" s="23" t="s">
        <v>22</v>
      </c>
      <c r="L46" s="23"/>
      <c r="M46" s="12"/>
      <c r="N46" s="12"/>
      <c r="O46" s="22"/>
      <c r="P46" s="22"/>
      <c r="Q46" s="22"/>
      <c r="R46" s="22"/>
      <c r="S46" s="22"/>
      <c r="T46" s="22"/>
      <c r="U46" s="22"/>
      <c r="V46" s="22"/>
      <c r="W46" s="35"/>
    </row>
    <row r="47" spans="1:24" x14ac:dyDescent="0.25">
      <c r="A47" s="2" t="s">
        <v>11</v>
      </c>
      <c r="B47" s="2">
        <v>6</v>
      </c>
      <c r="C47" s="2">
        <v>1</v>
      </c>
      <c r="D47" s="6">
        <v>1</v>
      </c>
      <c r="E47" s="6">
        <v>0</v>
      </c>
      <c r="F47" s="7">
        <f t="shared" si="14"/>
        <v>1</v>
      </c>
      <c r="G47">
        <v>4</v>
      </c>
      <c r="H47" s="4" t="s">
        <v>11</v>
      </c>
      <c r="I47" s="22"/>
      <c r="J47" s="22"/>
      <c r="K47" s="22"/>
      <c r="L47" s="22"/>
      <c r="M47" s="22"/>
      <c r="N47" s="22"/>
      <c r="O47" s="12" t="s">
        <v>22</v>
      </c>
      <c r="P47" s="22"/>
      <c r="Q47" s="22"/>
      <c r="R47" s="22"/>
      <c r="S47" s="22"/>
      <c r="T47" s="22"/>
      <c r="U47" s="22"/>
      <c r="V47" s="22"/>
      <c r="W47" s="33"/>
    </row>
    <row r="48" spans="1:24" x14ac:dyDescent="0.25">
      <c r="A48" s="5" t="s">
        <v>32</v>
      </c>
      <c r="B48" s="5">
        <v>1</v>
      </c>
      <c r="C48" s="5">
        <v>6</v>
      </c>
      <c r="D48" s="6">
        <v>13</v>
      </c>
      <c r="E48" s="6">
        <v>7</v>
      </c>
      <c r="F48" s="7">
        <f t="shared" si="14"/>
        <v>2.1666666666666665</v>
      </c>
      <c r="G48">
        <v>2</v>
      </c>
      <c r="H48" s="4" t="s">
        <v>32</v>
      </c>
      <c r="I48" s="22"/>
      <c r="J48" s="23" t="s">
        <v>22</v>
      </c>
      <c r="K48" s="12"/>
      <c r="L48" s="12"/>
      <c r="M48" s="23"/>
      <c r="N48" s="23"/>
      <c r="O48" s="23"/>
      <c r="P48" s="23"/>
      <c r="Q48" s="23"/>
      <c r="R48" s="12"/>
      <c r="S48" s="12"/>
      <c r="T48" s="23"/>
      <c r="U48" s="12"/>
      <c r="V48" s="12"/>
      <c r="W48" s="36"/>
    </row>
    <row r="49" spans="1:23" x14ac:dyDescent="0.25">
      <c r="A49" s="14" t="s">
        <v>12</v>
      </c>
      <c r="B49" s="15"/>
      <c r="C49" s="16"/>
      <c r="D49" s="3">
        <f>AVERAGE(D45:D48)</f>
        <v>6.75</v>
      </c>
      <c r="E49" s="3">
        <f>AVERAGE(E45:E48)</f>
        <v>3.5</v>
      </c>
      <c r="F49" s="3">
        <f t="shared" ref="F48:F49" si="15">AVERAGE(F45:F48)</f>
        <v>1.8541666666666665</v>
      </c>
      <c r="H49" s="2" t="s">
        <v>7</v>
      </c>
      <c r="I49" s="2">
        <v>0</v>
      </c>
      <c r="J49" s="2">
        <v>1</v>
      </c>
      <c r="K49" s="2">
        <v>2</v>
      </c>
      <c r="L49" s="2">
        <v>3</v>
      </c>
      <c r="M49" s="2">
        <v>4</v>
      </c>
      <c r="N49" s="2">
        <v>5</v>
      </c>
      <c r="O49" s="2">
        <v>6</v>
      </c>
      <c r="P49" s="2">
        <v>7</v>
      </c>
      <c r="Q49" s="2">
        <v>8</v>
      </c>
      <c r="R49" s="2">
        <v>9</v>
      </c>
      <c r="S49" s="2">
        <v>10</v>
      </c>
      <c r="T49" s="2">
        <v>11</v>
      </c>
      <c r="U49" s="2">
        <v>12</v>
      </c>
      <c r="V49" s="2">
        <v>13</v>
      </c>
      <c r="W49" s="32"/>
    </row>
    <row r="54" spans="1:23" x14ac:dyDescent="0.25">
      <c r="A54" s="14" t="s">
        <v>20</v>
      </c>
      <c r="B54" s="15"/>
      <c r="C54" s="15"/>
      <c r="D54" s="15"/>
      <c r="E54" s="15"/>
      <c r="F54" s="16"/>
      <c r="H54" s="17" t="s">
        <v>21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x14ac:dyDescent="0.25">
      <c r="A55" s="2"/>
      <c r="B55" s="4" t="s">
        <v>2</v>
      </c>
      <c r="C55" s="9" t="s">
        <v>3</v>
      </c>
      <c r="D55" s="9" t="s">
        <v>4</v>
      </c>
      <c r="E55" s="2" t="s">
        <v>5</v>
      </c>
      <c r="F55" s="2" t="s">
        <v>6</v>
      </c>
      <c r="H55" s="2" t="s">
        <v>7</v>
      </c>
      <c r="I55" s="2">
        <v>0</v>
      </c>
      <c r="J55" s="2">
        <v>1</v>
      </c>
      <c r="K55" s="2">
        <v>2</v>
      </c>
      <c r="L55" s="2">
        <v>3</v>
      </c>
      <c r="M55" s="2">
        <v>4</v>
      </c>
      <c r="N55" s="2">
        <v>5</v>
      </c>
      <c r="O55" s="2">
        <v>6</v>
      </c>
      <c r="P55" s="2">
        <v>7</v>
      </c>
      <c r="Q55" s="2">
        <v>8</v>
      </c>
      <c r="R55" s="2">
        <v>9</v>
      </c>
      <c r="S55" s="2">
        <v>10</v>
      </c>
      <c r="T55" s="2">
        <v>11</v>
      </c>
      <c r="U55" s="2">
        <v>12</v>
      </c>
      <c r="V55" s="2">
        <v>13</v>
      </c>
      <c r="W55" s="24"/>
    </row>
    <row r="56" spans="1:23" x14ac:dyDescent="0.25">
      <c r="A56" s="2" t="s">
        <v>8</v>
      </c>
      <c r="B56" s="2">
        <v>9</v>
      </c>
      <c r="C56" s="2">
        <v>1</v>
      </c>
      <c r="D56" s="6">
        <v>1</v>
      </c>
      <c r="E56" s="6">
        <v>0</v>
      </c>
      <c r="F56" s="7">
        <v>1</v>
      </c>
      <c r="H56" s="2" t="s">
        <v>8</v>
      </c>
      <c r="I56" s="22"/>
      <c r="J56" s="22"/>
      <c r="K56" s="22"/>
      <c r="L56" s="22"/>
      <c r="M56" s="22"/>
      <c r="N56" s="22"/>
      <c r="O56" s="22"/>
      <c r="P56" s="22"/>
      <c r="Q56" s="22"/>
      <c r="R56" s="12" t="s">
        <v>22</v>
      </c>
      <c r="S56" s="22"/>
      <c r="T56" s="22"/>
      <c r="U56" s="22"/>
      <c r="V56" s="22"/>
      <c r="W56" s="22"/>
    </row>
    <row r="57" spans="1:23" x14ac:dyDescent="0.25">
      <c r="A57" s="2" t="s">
        <v>9</v>
      </c>
      <c r="B57" s="2">
        <v>0</v>
      </c>
      <c r="C57" s="2">
        <v>4</v>
      </c>
      <c r="D57" s="6">
        <v>4</v>
      </c>
      <c r="E57" s="6">
        <v>0</v>
      </c>
      <c r="F57" s="7">
        <v>1</v>
      </c>
      <c r="H57" s="2" t="s">
        <v>9</v>
      </c>
      <c r="I57" s="12" t="s">
        <v>22</v>
      </c>
      <c r="J57" s="12"/>
      <c r="K57" s="12"/>
      <c r="L57" s="1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spans="1:23" x14ac:dyDescent="0.25">
      <c r="A58" s="2" t="s">
        <v>10</v>
      </c>
      <c r="B58" s="2">
        <v>2</v>
      </c>
      <c r="C58" s="2">
        <v>2</v>
      </c>
      <c r="D58" s="6">
        <v>4</v>
      </c>
      <c r="E58" s="6">
        <v>2</v>
      </c>
      <c r="F58" s="7">
        <v>2</v>
      </c>
      <c r="H58" s="2" t="s">
        <v>10</v>
      </c>
      <c r="I58" s="22"/>
      <c r="J58" s="22"/>
      <c r="K58" s="23" t="s">
        <v>22</v>
      </c>
      <c r="L58" s="23"/>
      <c r="M58" s="12"/>
      <c r="N58" s="12"/>
      <c r="O58" s="22"/>
      <c r="P58" s="22"/>
      <c r="Q58" s="22"/>
      <c r="R58" s="26"/>
      <c r="S58" s="26"/>
      <c r="T58" s="22"/>
      <c r="U58" s="22"/>
      <c r="V58" s="22"/>
      <c r="W58" s="22"/>
    </row>
    <row r="59" spans="1:23" x14ac:dyDescent="0.25">
      <c r="A59" s="2" t="s">
        <v>11</v>
      </c>
      <c r="B59" s="2">
        <v>6</v>
      </c>
      <c r="C59" s="2">
        <v>1</v>
      </c>
      <c r="D59" s="6">
        <v>1</v>
      </c>
      <c r="E59" s="6">
        <v>0</v>
      </c>
      <c r="F59" s="7">
        <v>1</v>
      </c>
      <c r="H59" s="4" t="s">
        <v>11</v>
      </c>
      <c r="I59" s="22"/>
      <c r="J59" s="22"/>
      <c r="K59" s="22"/>
      <c r="L59" s="22"/>
      <c r="M59" s="22"/>
      <c r="N59" s="22"/>
      <c r="O59" s="12" t="s">
        <v>22</v>
      </c>
      <c r="P59" s="22"/>
      <c r="Q59" s="22"/>
      <c r="R59" s="22"/>
      <c r="S59" s="22"/>
      <c r="T59" s="22"/>
      <c r="U59" s="22"/>
      <c r="V59" s="22"/>
      <c r="W59" s="22"/>
    </row>
    <row r="60" spans="1:23" x14ac:dyDescent="0.25">
      <c r="A60" s="27" t="s">
        <v>32</v>
      </c>
      <c r="B60" s="28">
        <v>1</v>
      </c>
      <c r="C60" s="28">
        <v>6</v>
      </c>
      <c r="D60" s="6">
        <v>13</v>
      </c>
      <c r="E60" s="6">
        <v>7</v>
      </c>
      <c r="F60" s="7">
        <f>13/6</f>
        <v>2.1666666666666665</v>
      </c>
      <c r="H60" s="4" t="s">
        <v>32</v>
      </c>
      <c r="I60" s="22"/>
      <c r="J60" s="23" t="s">
        <v>22</v>
      </c>
      <c r="K60" s="23"/>
      <c r="L60" s="23"/>
      <c r="M60" s="23"/>
      <c r="N60" s="23"/>
      <c r="O60" s="23"/>
      <c r="P60" s="12"/>
      <c r="Q60" s="12"/>
      <c r="R60" s="23"/>
      <c r="S60" s="12"/>
      <c r="T60" s="12"/>
      <c r="U60" s="12"/>
      <c r="V60" s="12"/>
      <c r="W60" s="22"/>
    </row>
    <row r="61" spans="1:23" x14ac:dyDescent="0.25">
      <c r="A61" s="14" t="s">
        <v>12</v>
      </c>
      <c r="B61" s="15"/>
      <c r="C61" s="16"/>
      <c r="D61" s="3">
        <f>AVERAGE(D57:D60)</f>
        <v>5.5</v>
      </c>
      <c r="E61" s="3">
        <f>AVERAGE(E57:E60)</f>
        <v>2.25</v>
      </c>
      <c r="F61" s="3">
        <f t="shared" ref="F60:F61" si="16">AVERAGE(F57:F60)</f>
        <v>1.5416666666666665</v>
      </c>
      <c r="H61" s="2" t="s">
        <v>7</v>
      </c>
      <c r="I61" s="2">
        <v>0</v>
      </c>
      <c r="J61" s="2">
        <v>1</v>
      </c>
      <c r="K61" s="2">
        <v>2</v>
      </c>
      <c r="L61" s="2">
        <v>3</v>
      </c>
      <c r="M61" s="2">
        <v>4</v>
      </c>
      <c r="N61" s="2">
        <v>5</v>
      </c>
      <c r="O61" s="2">
        <v>6</v>
      </c>
      <c r="P61" s="2">
        <v>7</v>
      </c>
      <c r="Q61" s="2">
        <v>8</v>
      </c>
      <c r="R61" s="2">
        <v>9</v>
      </c>
      <c r="S61" s="2">
        <v>10</v>
      </c>
      <c r="T61" s="2">
        <v>11</v>
      </c>
      <c r="U61" s="2">
        <v>12</v>
      </c>
      <c r="V61" s="2">
        <v>13</v>
      </c>
      <c r="W61" s="24"/>
    </row>
  </sheetData>
  <mergeCells count="21">
    <mergeCell ref="A54:F54"/>
    <mergeCell ref="H54:W54"/>
    <mergeCell ref="A61:C61"/>
    <mergeCell ref="A42:F42"/>
    <mergeCell ref="H42:W42"/>
    <mergeCell ref="A49:C49"/>
    <mergeCell ref="H1:W1"/>
    <mergeCell ref="H17:W17"/>
    <mergeCell ref="H25:W25"/>
    <mergeCell ref="A25:F25"/>
    <mergeCell ref="A23:C23"/>
    <mergeCell ref="A1:F1"/>
    <mergeCell ref="A9:F9"/>
    <mergeCell ref="A7:C7"/>
    <mergeCell ref="A15:C15"/>
    <mergeCell ref="A17:F17"/>
    <mergeCell ref="A31:C31"/>
    <mergeCell ref="A33:F33"/>
    <mergeCell ref="A39:C39"/>
    <mergeCell ref="H33:W33"/>
    <mergeCell ref="H9:W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2B227AA27C464E9FCB5CC5C8E47B1E" ma:contentTypeVersion="3" ma:contentTypeDescription="Crear nuevo documento." ma:contentTypeScope="" ma:versionID="60c850f1f37339869f67f6542cc01740">
  <xsd:schema xmlns:xsd="http://www.w3.org/2001/XMLSchema" xmlns:xs="http://www.w3.org/2001/XMLSchema" xmlns:p="http://schemas.microsoft.com/office/2006/metadata/properties" xmlns:ns2="e0733bcd-416e-4ebb-b728-0bead620c6b5" targetNamespace="http://schemas.microsoft.com/office/2006/metadata/properties" ma:root="true" ma:fieldsID="1174a382b51cd69fe445743b5c1a182c" ns2:_="">
    <xsd:import namespace="e0733bcd-416e-4ebb-b728-0bead620c6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33bcd-416e-4ebb-b728-0bead620c6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266C9-BD91-4E58-8116-5FAD8DF8C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733bcd-416e-4ebb-b728-0bead620c6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6290CE-3AE9-459F-A494-70F6BA3147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773522-C87D-4DA1-8AE7-443274F3CB5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A.Feichubuinm;Nicolas Abosch;Jesus Suapr</dc:creator>
  <cp:keywords/>
  <dc:description/>
  <cp:lastModifiedBy>Abosch Nicolas</cp:lastModifiedBy>
  <cp:revision/>
  <dcterms:created xsi:type="dcterms:W3CDTF">2025-04-03T18:26:03Z</dcterms:created>
  <dcterms:modified xsi:type="dcterms:W3CDTF">2025-09-29T23:00:00Z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0x010100002B227AA27C464E9FCB5CC5C8E47B1E</vt:lpwstr>
  </property>
</Properties>
</file>